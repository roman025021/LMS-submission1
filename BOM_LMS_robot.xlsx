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F4E670A850FC7F/Documents/"/>
    </mc:Choice>
  </mc:AlternateContent>
  <xr:revisionPtr revIDLastSave="0" documentId="8_{EFB9C4E7-E5D0-4ED3-9CB8-92EECAE8C452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BOM" sheetId="1" r:id="rId1"/>
    <sheet name="Summary" sheetId="2" r:id="rId2"/>
    <sheet name="Notes" sheetId="3" r:id="rId3"/>
  </sheets>
  <definedNames>
    <definedName name="_xlnm._FilterDatabase" localSheetId="0" hidden="1">BOM!$A$1:$H$27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3" i="1"/>
  <c r="E22" i="1"/>
  <c r="E21" i="1"/>
  <c r="E20" i="1"/>
  <c r="E19" i="1"/>
  <c r="E18" i="1"/>
  <c r="E17" i="1"/>
  <c r="E16" i="1"/>
  <c r="B16" i="2" s="1"/>
  <c r="E15" i="1"/>
  <c r="E14" i="1"/>
  <c r="E13" i="1"/>
  <c r="E12" i="1"/>
  <c r="E11" i="1"/>
  <c r="E10" i="1"/>
  <c r="E9" i="1"/>
  <c r="E8" i="1"/>
  <c r="E7" i="1"/>
  <c r="E4" i="1"/>
  <c r="B14" i="2" s="1"/>
  <c r="E2" i="1"/>
  <c r="B13" i="2" s="1"/>
  <c r="B15" i="2" l="1"/>
  <c r="B4" i="2"/>
  <c r="B6" i="2" s="1"/>
  <c r="B18" i="2"/>
  <c r="B7" i="2" l="1"/>
  <c r="B10" i="2"/>
  <c r="B9" i="2" l="1"/>
  <c r="B8" i="2"/>
</calcChain>
</file>

<file path=xl/sharedStrings.xml><?xml version="1.0" encoding="utf-8"?>
<sst xmlns="http://schemas.openxmlformats.org/spreadsheetml/2006/main" count="145" uniqueCount="120">
  <si>
    <t>No</t>
  </si>
  <si>
    <t>Item (exact model)</t>
  </si>
  <si>
    <t>Qty</t>
  </si>
  <si>
    <t>Unit price (INR)</t>
  </si>
  <si>
    <t>Line total (INR)</t>
  </si>
  <si>
    <t>Supplier</t>
  </si>
  <si>
    <t>Product / search URL</t>
  </si>
  <si>
    <t>Notes</t>
  </si>
  <si>
    <t>ESP32 DevKit V1 (ESP32-WROOM-32, 30-pin, CP2102)</t>
  </si>
  <si>
    <t>Probots</t>
  </si>
  <si>
    <t>https://probots.co.in/esp32-30-pin-cp2102-development-board.html</t>
  </si>
  <si>
    <t>Controller. 1 spare: GPIO damage is the most common failure. Listed at Rs 499 incl. GST.</t>
  </si>
  <si>
    <t>Robu.in</t>
  </si>
  <si>
    <t>5 for array + 3 spare. Use AO (analog), run from 3.3 V. Price not shown in search snippet; confirm on page.</t>
  </si>
  <si>
    <t>N20 12 V 300 RPM micro metal gear motor WITH encoder</t>
  </si>
  <si>
    <t>Zbotic</t>
  </si>
  <si>
    <t>https://zbotic.in/product/n20-12v-300rpm-micro-metal-gear-motor-with-encoder/</t>
  </si>
  <si>
    <t>N20 motor bracket (pair-compatible)</t>
  </si>
  <si>
    <t>2 in use + 2 spare. Search link: pick the bracket sold for N20.</t>
  </si>
  <si>
    <t>43 mm rubber-tyre wheel for N20 (3 mm D-shaft)</t>
  </si>
  <si>
    <t>https://robu.in/?s=43mm+wheel+N20&amp;post_type=product</t>
  </si>
  <si>
    <t>Metal ball caster 3/8 in</t>
  </si>
  <si>
    <t>https://probots.co.in/catalogsearch/result/?q=metal+ball+caster</t>
  </si>
  <si>
    <t>Low-friction 3rd contact point; 1 spare.</t>
  </si>
  <si>
    <t>L298N dual H-bridge motor driver module</t>
  </si>
  <si>
    <t>https://probots.co.in/l298n-2a-dual-motor-driver-module.html</t>
  </si>
  <si>
    <t>Matches Appendix A pin map. 1 spare (easy to burn during bring-up). Rs 149 incl. GST.</t>
  </si>
  <si>
    <t>CNHL MiniStar 3S 11.1 V 1000 mAh 100C LiPo, XT60</t>
  </si>
  <si>
    <t>https://zbotic.in/product/cnhl-ministar-1000mah-11-1v-3s-100c-lipo-battery-with-xt60-plug/</t>
  </si>
  <si>
    <t>Two packs: run one while the other charges. Rs 904 + GST each, free shipping stated.</t>
  </si>
  <si>
    <t>IMAX RC B3 Pro balance charger 2S/3S (EU plug)</t>
  </si>
  <si>
    <t>https://probots.co.in/imax-b3-pro-balance-charger-for-2s-3s-lipo-battery.html</t>
  </si>
  <si>
    <t>Mandatory for safe LiPo charging. Rs 499 incl. GST.</t>
  </si>
  <si>
    <t>LiPo low-voltage buzzer alarm (1-8S)</t>
  </si>
  <si>
    <t>https://robu.in/?s=lipo+low+voltage+buzzer+alarm&amp;post_type=product</t>
  </si>
  <si>
    <t>One per pack. Stops over-discharge below ~3.3 V/cell.</t>
  </si>
  <si>
    <t>XT60 connector pair (robot side)</t>
  </si>
  <si>
    <t>https://probots.co.in/catalogsearch/result/?q=XT60+connector</t>
  </si>
  <si>
    <t>Robot-side battery connector; 1 spare.</t>
  </si>
  <si>
    <t>Rocker switch 6 A</t>
  </si>
  <si>
    <t>https://robu.in/?s=rocker+switch+6A&amp;post_type=product</t>
  </si>
  <si>
    <t>Main power switch.</t>
  </si>
  <si>
    <t>Blade fuse holder + 5 A fuse</t>
  </si>
  <si>
    <t>https://robu.in/?s=blade+fuse+holder&amp;post_type=product</t>
  </si>
  <si>
    <t>Short-circuit protection (worst case 1.9 A).</t>
  </si>
  <si>
    <t>MP1584EN buck module (set to 5.0 V)</t>
  </si>
  <si>
    <t>https://probots.co.in/mp1584-dc-dc-step-down-3a-adjustable-buck-module.html</t>
  </si>
  <si>
    <t>5 V rail for ESP32 Vin + L298N logic. 1 spare: the trimpot is fragile. Rs 79 incl. GST.</t>
  </si>
  <si>
    <t>3 mm acrylic chassis plate, laser cut (or 3D-print)</t>
  </si>
  <si>
    <t>Local fabricator</t>
  </si>
  <si>
    <t>https://robu.in/?s=robot+chassis+acrylic&amp;post_type=product</t>
  </si>
  <si>
    <t>Custom 2-deck chassis; local laser-cut price is a guess. Search link is only a fallback.</t>
  </si>
  <si>
    <t>M3 standoff + screw kit</t>
  </si>
  <si>
    <t>https://probots.co.in/catalogsearch/result/?q=M3+standoff+screw+kit</t>
  </si>
  <si>
    <t>Mounting decks.</t>
  </si>
  <si>
    <t>Perfboard 5x7 cm</t>
  </si>
  <si>
    <t>https://probots.co.in/catalogsearch/result/?q=perfboard+5x7</t>
  </si>
  <si>
    <t>Sensor-array / power distribution boards.</t>
  </si>
  <si>
    <t>Jumper wire set M-F + F-F 20 cm (40 pcs)</t>
  </si>
  <si>
    <t>https://robu.in/?s=jumper+wire+40+pcs&amp;post_type=product</t>
  </si>
  <si>
    <t>Prototyping connections.</t>
  </si>
  <si>
    <t>22 AWG silicone wire 2 m (red/black)</t>
  </si>
  <si>
    <t>https://robu.in/?s=22+AWG+silicone+wire&amp;post_type=product</t>
  </si>
  <si>
    <t>Power wiring.</t>
  </si>
  <si>
    <t>Header strips + 2-pin screw terminals</t>
  </si>
  <si>
    <t>https://probots.co.in/catalogsearch/result/?q=header+strip+screw+terminal</t>
  </si>
  <si>
    <t>Connectors.</t>
  </si>
  <si>
    <t>Capacitor + resistor kit (1000 uF/25 V, 100 nF, 10 uF, 10 k)</t>
  </si>
  <si>
    <t>https://robu.in/?s=capacitor+kit+1000uF&amp;post_type=product</t>
  </si>
  <si>
    <t>Motor-rail bulk cap, decoupling, and the 10 k pull-down for GPIO12.</t>
  </si>
  <si>
    <t>Heat-shrink, zip ties, double-sided tape</t>
  </si>
  <si>
    <t>https://robu.in/?s=heat+shrink+tube+assortment&amp;post_type=product</t>
  </si>
  <si>
    <t>Assembly.</t>
  </si>
  <si>
    <t>Micro-USB data cable</t>
  </si>
  <si>
    <t>https://probots.co.in/catalogsearch/result/?q=micro+usb+data+cable</t>
  </si>
  <si>
    <t>Programming (must be a data cable).</t>
  </si>
  <si>
    <t>Velcro battery strap</t>
  </si>
  <si>
    <t>https://robu.in/?s=velcro+battery+strap&amp;post_type=product</t>
  </si>
  <si>
    <t>Battery retention.</t>
  </si>
  <si>
    <t>Digital multimeter</t>
  </si>
  <si>
    <t>https://robu.in/?s=digital+multimeter&amp;post_type=product</t>
  </si>
  <si>
    <t>Needed to set the buck to 5.0 V BEFORE connecting the ESP32, and to check pack voltage.</t>
  </si>
  <si>
    <t>LiPo safe charging bag</t>
  </si>
  <si>
    <t>https://robu.in/?s=lipo+safe+bag&amp;post_type=product</t>
  </si>
  <si>
    <t>Fire-resistant bag for charging/storage.</t>
  </si>
  <si>
    <t>LMS Line-Following Robot: Budget Summary</t>
  </si>
  <si>
    <t>Maximum budget</t>
  </si>
  <si>
    <t>Parts subtotal</t>
  </si>
  <si>
    <t>Shipping (assumed, 3 orders)</t>
  </si>
  <si>
    <t>Committed spend</t>
  </si>
  <si>
    <t>Reserve / contingency (budget left)</t>
  </si>
  <si>
    <t>TOTAL (committed + reserve)</t>
  </si>
  <si>
    <t>Reserve as % of budget</t>
  </si>
  <si>
    <t>Status</t>
  </si>
  <si>
    <t>Spend by supplier (parts only)</t>
  </si>
  <si>
    <t>Share of parts cost with a verified listing price</t>
  </si>
  <si>
    <t>Legend</t>
  </si>
  <si>
    <t>Blue numbers = inputs you can change (budget, shipping, qty, unit price).</t>
  </si>
  <si>
    <t>Green 'Price basis' = price read from a live shop listing.  Yellow = my estimate: check it before ordering.</t>
  </si>
  <si>
    <t>Black = formulas; everything recalculates when you edit qty or price.</t>
  </si>
  <si>
    <t>Sources and assumptions</t>
  </si>
  <si>
    <t>Verified prices came from product pages found by web search while preparing this sheet (late Oct 2026). Shop prices change daily: re-check each before paying.</t>
  </si>
  <si>
    <t>Verified items: ESP32 (Probots), L298N (Probots), IMAX B3 Pro charger (Probots), MP1584 buck (Probots), CNHL MiniStar 3S LiPo (Zbotic), N20 12V 300RPM encoder motor (Zbotic).</t>
  </si>
  <si>
    <t>Estimated items: I could not confirm a live price for the rest. Their URLs are store search links, not individual product pages. Open the link, pick the matching part, and update the blue unit price.</t>
  </si>
  <si>
    <t>The N20 encoder motor page was marked out of stock on a Zbotic category listing: confirm before ordering. The encoder pins are not used by the current firmware; they are for future speed feedback.</t>
  </si>
  <si>
    <t>Shipping of Rs 400 is an assumption for 3 supplier orders; Zbotic states free shipping on orders above Rs 999.</t>
  </si>
  <si>
    <t>Changes from the original BOM: 2 batteries, spare ESP32 / L298N / buck / sensors, encoder motors, multimeter and LiPo bag added to use the full Rs 10,000 budget safely.</t>
  </si>
  <si>
    <t>Safety: charge LiPo only with the balance charger, in the safe bag, and never unattended. Set the buck to 5.0 V with the multimeter before connecting the ESP32.</t>
  </si>
  <si>
    <t>https://robu.in/product/tcrt5000-reflective-ir-sensor-photoelectric-switch/</t>
  </si>
  <si>
    <t>TCRT5000 Reflective IR Sensor Photoelectric Switch Pack of 5</t>
  </si>
  <si>
    <t>Rs 69.00</t>
  </si>
  <si>
    <t>Rs 138.00</t>
  </si>
  <si>
    <t xml:space="preserve">Upgrade over the plain motor: encoders give speed feedback. Rs 436 + GST. </t>
  </si>
  <si>
    <t>Rs 139.00</t>
  </si>
  <si>
    <t>Rs 27.80</t>
  </si>
  <si>
    <t>Amazon</t>
  </si>
  <si>
    <t>https://www.amazon.in/Motor-Mount-Bracket-N20-2pcs/dp/B094ZJVZ1L</t>
  </si>
  <si>
    <t>~0.52 m/s no-load at ~9.3 V.</t>
  </si>
  <si>
    <t>Rs 38.00</t>
  </si>
  <si>
    <t>Rs 76.00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</si>
</sst>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s &quot;#,##0.0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0"/>
      <color rgb="FF0563C1"/>
      <name val="Arial"/>
      <charset val="1"/>
    </font>
    <font>
      <b/>
      <sz val="14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1"/>
      <color rgb="FF000033"/>
      <name val="Aptos Narrow"/>
      <family val="2"/>
    </font>
    <font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4" fontId="6" fillId="0" borderId="0" xfId="0" applyNumberFormat="1" applyFont="1"/>
    <xf numFmtId="165" fontId="8" fillId="0" borderId="0" xfId="0" applyNumberFormat="1" applyFont="1"/>
    <xf numFmtId="0" fontId="8" fillId="0" borderId="0" xfId="0" applyFont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164" fontId="10" fillId="0" borderId="1" xfId="0" applyNumberFormat="1" applyFont="1" applyBorder="1" applyAlignment="1">
      <alignment horizontal="right" vertical="top"/>
    </xf>
    <xf numFmtId="164" fontId="11" fillId="0" borderId="1" xfId="0" applyNumberFormat="1" applyFont="1" applyBorder="1" applyAlignment="1">
      <alignment horizontal="right" vertical="top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?s=lipo+low+voltage+buzzer+alarm&amp;post_type=product" TargetMode="External"/><Relationship Id="rId13" Type="http://schemas.openxmlformats.org/officeDocument/2006/relationships/hyperlink" Target="https://robu.in/?s=robot+chassis+acrylic&amp;post_type=product" TargetMode="External"/><Relationship Id="rId18" Type="http://schemas.openxmlformats.org/officeDocument/2006/relationships/hyperlink" Target="https://probots.co.in/catalogsearch/result/?q=header+strip+screw+terminal" TargetMode="External"/><Relationship Id="rId3" Type="http://schemas.openxmlformats.org/officeDocument/2006/relationships/hyperlink" Target="https://robu.in/?s=43mm+wheel+N20&amp;post_type=product" TargetMode="External"/><Relationship Id="rId21" Type="http://schemas.openxmlformats.org/officeDocument/2006/relationships/hyperlink" Target="https://probots.co.in/catalogsearch/result/?q=micro+usb+data+cable" TargetMode="External"/><Relationship Id="rId7" Type="http://schemas.openxmlformats.org/officeDocument/2006/relationships/hyperlink" Target="https://probots.co.in/imax-b3-pro-balance-charger-for-2s-3s-lipo-battery.html" TargetMode="External"/><Relationship Id="rId12" Type="http://schemas.openxmlformats.org/officeDocument/2006/relationships/hyperlink" Target="https://probots.co.in/mp1584-dc-dc-step-down-3a-adjustable-buck-module.html" TargetMode="External"/><Relationship Id="rId17" Type="http://schemas.openxmlformats.org/officeDocument/2006/relationships/hyperlink" Target="https://robu.in/?s=22+AWG+silicone+wire&amp;post_type=product" TargetMode="External"/><Relationship Id="rId2" Type="http://schemas.openxmlformats.org/officeDocument/2006/relationships/hyperlink" Target="https://zbotic.in/product/n20-12v-300rpm-micro-metal-gear-motor-with-encoder/" TargetMode="External"/><Relationship Id="rId16" Type="http://schemas.openxmlformats.org/officeDocument/2006/relationships/hyperlink" Target="https://robu.in/?s=jumper+wire+40+pcs&amp;post_type=product" TargetMode="External"/><Relationship Id="rId20" Type="http://schemas.openxmlformats.org/officeDocument/2006/relationships/hyperlink" Target="https://robu.in/?s=heat+shrink+tube+assortment&amp;post_type=product" TargetMode="External"/><Relationship Id="rId1" Type="http://schemas.openxmlformats.org/officeDocument/2006/relationships/hyperlink" Target="https://probots.co.in/esp32-30-pin-cp2102-development-board.html" TargetMode="External"/><Relationship Id="rId6" Type="http://schemas.openxmlformats.org/officeDocument/2006/relationships/hyperlink" Target="https://zbotic.in/product/cnhl-ministar-1000mah-11-1v-3s-100c-lipo-battery-with-xt60-plug/" TargetMode="External"/><Relationship Id="rId11" Type="http://schemas.openxmlformats.org/officeDocument/2006/relationships/hyperlink" Target="https://robu.in/?s=blade+fuse+holder&amp;post_type=product" TargetMode="External"/><Relationship Id="rId24" Type="http://schemas.openxmlformats.org/officeDocument/2006/relationships/hyperlink" Target="https://robu.in/?s=lipo+safe+bag&amp;post_type=product" TargetMode="External"/><Relationship Id="rId5" Type="http://schemas.openxmlformats.org/officeDocument/2006/relationships/hyperlink" Target="https://probots.co.in/l298n-2a-dual-motor-driver-module.html" TargetMode="External"/><Relationship Id="rId15" Type="http://schemas.openxmlformats.org/officeDocument/2006/relationships/hyperlink" Target="https://probots.co.in/catalogsearch/result/?q=perfboard+5x7" TargetMode="External"/><Relationship Id="rId23" Type="http://schemas.openxmlformats.org/officeDocument/2006/relationships/hyperlink" Target="https://robu.in/?s=digital+multimeter&amp;post_type=product" TargetMode="External"/><Relationship Id="rId10" Type="http://schemas.openxmlformats.org/officeDocument/2006/relationships/hyperlink" Target="https://robu.in/?s=rocker+switch+6A&amp;post_type=product" TargetMode="External"/><Relationship Id="rId19" Type="http://schemas.openxmlformats.org/officeDocument/2006/relationships/hyperlink" Target="https://robu.in/?s=capacitor+kit+1000uF&amp;post_type=product" TargetMode="External"/><Relationship Id="rId4" Type="http://schemas.openxmlformats.org/officeDocument/2006/relationships/hyperlink" Target="https://probots.co.in/catalogsearch/result/?q=metal+ball+caster" TargetMode="External"/><Relationship Id="rId9" Type="http://schemas.openxmlformats.org/officeDocument/2006/relationships/hyperlink" Target="https://probots.co.in/catalogsearch/result/?q=XT60+connector" TargetMode="External"/><Relationship Id="rId14" Type="http://schemas.openxmlformats.org/officeDocument/2006/relationships/hyperlink" Target="https://probots.co.in/catalogsearch/result/?q=M3+standoff+screw+kit" TargetMode="External"/><Relationship Id="rId22" Type="http://schemas.openxmlformats.org/officeDocument/2006/relationships/hyperlink" Target="https://robu.in/?s=velcro+battery+strap&amp;post_type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H1" sqref="H1:H1048576"/>
    </sheetView>
  </sheetViews>
  <sheetFormatPr defaultColWidth="8.6640625" defaultRowHeight="14.4" x14ac:dyDescent="0.3"/>
  <cols>
    <col min="1" max="1" width="5" customWidth="1"/>
    <col min="2" max="2" width="52" customWidth="1"/>
    <col min="3" max="3" width="6" customWidth="1"/>
    <col min="4" max="4" width="16" customWidth="1"/>
    <col min="5" max="5" width="17" customWidth="1"/>
    <col min="6" max="6" width="16" customWidth="1"/>
    <col min="7" max="7" width="60" customWidth="1"/>
    <col min="8" max="8" width="7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x14ac:dyDescent="0.3">
      <c r="A2" s="2">
        <v>1</v>
      </c>
      <c r="B2" s="3" t="s">
        <v>8</v>
      </c>
      <c r="C2" s="4">
        <v>2</v>
      </c>
      <c r="D2" s="5">
        <v>499</v>
      </c>
      <c r="E2" s="6">
        <f t="shared" ref="E2:E27" si="0">C2*D2</f>
        <v>998</v>
      </c>
      <c r="F2" s="2" t="s">
        <v>9</v>
      </c>
      <c r="G2" s="7" t="s">
        <v>10</v>
      </c>
      <c r="H2" s="3" t="s">
        <v>11</v>
      </c>
    </row>
    <row r="3" spans="1:8" ht="26.4" x14ac:dyDescent="0.3">
      <c r="A3" s="2">
        <v>2</v>
      </c>
      <c r="B3" s="17" t="s">
        <v>109</v>
      </c>
      <c r="C3" s="4">
        <v>2</v>
      </c>
      <c r="D3" s="18" t="s">
        <v>110</v>
      </c>
      <c r="E3" s="19" t="s">
        <v>111</v>
      </c>
      <c r="F3" s="2" t="s">
        <v>12</v>
      </c>
      <c r="G3" s="7" t="s">
        <v>108</v>
      </c>
      <c r="H3" s="3" t="s">
        <v>13</v>
      </c>
    </row>
    <row r="4" spans="1:8" x14ac:dyDescent="0.3">
      <c r="A4" s="2">
        <v>3</v>
      </c>
      <c r="B4" s="3" t="s">
        <v>14</v>
      </c>
      <c r="C4" s="4">
        <v>1</v>
      </c>
      <c r="D4" s="5">
        <v>514.48</v>
      </c>
      <c r="E4" s="6">
        <f t="shared" si="0"/>
        <v>514.48</v>
      </c>
      <c r="F4" s="2" t="s">
        <v>15</v>
      </c>
      <c r="G4" s="7" t="s">
        <v>16</v>
      </c>
      <c r="H4" s="20" t="s">
        <v>112</v>
      </c>
    </row>
    <row r="5" spans="1:8" x14ac:dyDescent="0.3">
      <c r="A5" s="2">
        <v>4</v>
      </c>
      <c r="B5" s="3" t="s">
        <v>17</v>
      </c>
      <c r="C5" s="4">
        <v>5</v>
      </c>
      <c r="D5" s="18" t="s">
        <v>114</v>
      </c>
      <c r="E5" s="19" t="s">
        <v>113</v>
      </c>
      <c r="F5" s="21" t="s">
        <v>115</v>
      </c>
      <c r="G5" s="7" t="s">
        <v>116</v>
      </c>
      <c r="H5" s="3" t="s">
        <v>18</v>
      </c>
    </row>
    <row r="6" spans="1:8" x14ac:dyDescent="0.3">
      <c r="A6" s="2">
        <v>5</v>
      </c>
      <c r="B6" s="22" t="s">
        <v>19</v>
      </c>
      <c r="C6" s="4">
        <v>2</v>
      </c>
      <c r="D6" s="18" t="s">
        <v>118</v>
      </c>
      <c r="E6" s="19" t="s">
        <v>119</v>
      </c>
      <c r="F6" s="2" t="s">
        <v>12</v>
      </c>
      <c r="G6" s="7" t="s">
        <v>20</v>
      </c>
      <c r="H6" s="20" t="s">
        <v>117</v>
      </c>
    </row>
    <row r="7" spans="1:8" x14ac:dyDescent="0.3">
      <c r="A7" s="2">
        <v>6</v>
      </c>
      <c r="B7" s="3" t="s">
        <v>21</v>
      </c>
      <c r="C7" s="4">
        <v>2</v>
      </c>
      <c r="D7" s="5">
        <v>80</v>
      </c>
      <c r="E7" s="6">
        <f t="shared" si="0"/>
        <v>160</v>
      </c>
      <c r="F7" s="2" t="s">
        <v>9</v>
      </c>
      <c r="G7" s="7" t="s">
        <v>22</v>
      </c>
      <c r="H7" s="3" t="s">
        <v>23</v>
      </c>
    </row>
    <row r="8" spans="1:8" ht="26.4" x14ac:dyDescent="0.3">
      <c r="A8" s="2">
        <v>7</v>
      </c>
      <c r="B8" s="3" t="s">
        <v>24</v>
      </c>
      <c r="C8" s="4">
        <v>2</v>
      </c>
      <c r="D8" s="5">
        <v>149</v>
      </c>
      <c r="E8" s="6">
        <f t="shared" si="0"/>
        <v>298</v>
      </c>
      <c r="F8" s="2" t="s">
        <v>9</v>
      </c>
      <c r="G8" s="7" t="s">
        <v>25</v>
      </c>
      <c r="H8" s="3" t="s">
        <v>26</v>
      </c>
    </row>
    <row r="9" spans="1:8" ht="26.4" x14ac:dyDescent="0.3">
      <c r="A9" s="2">
        <v>8</v>
      </c>
      <c r="B9" s="3" t="s">
        <v>27</v>
      </c>
      <c r="C9" s="4">
        <v>2</v>
      </c>
      <c r="D9" s="5">
        <v>1066.72</v>
      </c>
      <c r="E9" s="6">
        <f t="shared" si="0"/>
        <v>2133.44</v>
      </c>
      <c r="F9" s="2" t="s">
        <v>15</v>
      </c>
      <c r="G9" s="7" t="s">
        <v>28</v>
      </c>
      <c r="H9" s="3" t="s">
        <v>29</v>
      </c>
    </row>
    <row r="10" spans="1:8" x14ac:dyDescent="0.3">
      <c r="A10" s="2">
        <v>9</v>
      </c>
      <c r="B10" s="3" t="s">
        <v>30</v>
      </c>
      <c r="C10" s="4">
        <v>1</v>
      </c>
      <c r="D10" s="5">
        <v>499</v>
      </c>
      <c r="E10" s="6">
        <f t="shared" si="0"/>
        <v>499</v>
      </c>
      <c r="F10" s="2" t="s">
        <v>9</v>
      </c>
      <c r="G10" s="7" t="s">
        <v>31</v>
      </c>
      <c r="H10" s="3" t="s">
        <v>32</v>
      </c>
    </row>
    <row r="11" spans="1:8" x14ac:dyDescent="0.3">
      <c r="A11" s="2">
        <v>10</v>
      </c>
      <c r="B11" s="3" t="s">
        <v>33</v>
      </c>
      <c r="C11" s="4">
        <v>2</v>
      </c>
      <c r="D11" s="5">
        <v>150</v>
      </c>
      <c r="E11" s="6">
        <f t="shared" si="0"/>
        <v>300</v>
      </c>
      <c r="F11" s="2" t="s">
        <v>12</v>
      </c>
      <c r="G11" s="7" t="s">
        <v>34</v>
      </c>
      <c r="H11" s="3" t="s">
        <v>35</v>
      </c>
    </row>
    <row r="12" spans="1:8" x14ac:dyDescent="0.3">
      <c r="A12" s="2">
        <v>11</v>
      </c>
      <c r="B12" s="3" t="s">
        <v>36</v>
      </c>
      <c r="C12" s="4">
        <v>2</v>
      </c>
      <c r="D12" s="5">
        <v>60</v>
      </c>
      <c r="E12" s="6">
        <f t="shared" si="0"/>
        <v>120</v>
      </c>
      <c r="F12" s="2" t="s">
        <v>9</v>
      </c>
      <c r="G12" s="7" t="s">
        <v>37</v>
      </c>
      <c r="H12" s="3" t="s">
        <v>38</v>
      </c>
    </row>
    <row r="13" spans="1:8" x14ac:dyDescent="0.3">
      <c r="A13" s="2">
        <v>12</v>
      </c>
      <c r="B13" s="3" t="s">
        <v>39</v>
      </c>
      <c r="C13" s="4">
        <v>2</v>
      </c>
      <c r="D13" s="5">
        <v>35</v>
      </c>
      <c r="E13" s="6">
        <f t="shared" si="0"/>
        <v>70</v>
      </c>
      <c r="F13" s="2" t="s">
        <v>12</v>
      </c>
      <c r="G13" s="7" t="s">
        <v>40</v>
      </c>
      <c r="H13" s="3" t="s">
        <v>41</v>
      </c>
    </row>
    <row r="14" spans="1:8" x14ac:dyDescent="0.3">
      <c r="A14" s="2">
        <v>13</v>
      </c>
      <c r="B14" s="3" t="s">
        <v>42</v>
      </c>
      <c r="C14" s="4">
        <v>2</v>
      </c>
      <c r="D14" s="5">
        <v>80</v>
      </c>
      <c r="E14" s="6">
        <f t="shared" si="0"/>
        <v>160</v>
      </c>
      <c r="F14" s="2" t="s">
        <v>12</v>
      </c>
      <c r="G14" s="7" t="s">
        <v>43</v>
      </c>
      <c r="H14" s="3" t="s">
        <v>44</v>
      </c>
    </row>
    <row r="15" spans="1:8" ht="26.4" x14ac:dyDescent="0.3">
      <c r="A15" s="2">
        <v>14</v>
      </c>
      <c r="B15" s="3" t="s">
        <v>45</v>
      </c>
      <c r="C15" s="4">
        <v>2</v>
      </c>
      <c r="D15" s="5">
        <v>79</v>
      </c>
      <c r="E15" s="6">
        <f t="shared" si="0"/>
        <v>158</v>
      </c>
      <c r="F15" s="2" t="s">
        <v>9</v>
      </c>
      <c r="G15" s="7" t="s">
        <v>46</v>
      </c>
      <c r="H15" s="3" t="s">
        <v>47</v>
      </c>
    </row>
    <row r="16" spans="1:8" ht="26.4" x14ac:dyDescent="0.3">
      <c r="A16" s="2">
        <v>15</v>
      </c>
      <c r="B16" s="3" t="s">
        <v>48</v>
      </c>
      <c r="C16" s="4">
        <v>1</v>
      </c>
      <c r="D16" s="5">
        <v>450</v>
      </c>
      <c r="E16" s="6">
        <f t="shared" si="0"/>
        <v>450</v>
      </c>
      <c r="F16" s="2" t="s">
        <v>49</v>
      </c>
      <c r="G16" s="7" t="s">
        <v>50</v>
      </c>
      <c r="H16" s="3" t="s">
        <v>51</v>
      </c>
    </row>
    <row r="17" spans="1:8" x14ac:dyDescent="0.3">
      <c r="A17" s="2">
        <v>16</v>
      </c>
      <c r="B17" s="3" t="s">
        <v>52</v>
      </c>
      <c r="C17" s="4">
        <v>1</v>
      </c>
      <c r="D17" s="5">
        <v>200</v>
      </c>
      <c r="E17" s="6">
        <f t="shared" si="0"/>
        <v>200</v>
      </c>
      <c r="F17" s="2" t="s">
        <v>9</v>
      </c>
      <c r="G17" s="7" t="s">
        <v>53</v>
      </c>
      <c r="H17" s="3" t="s">
        <v>54</v>
      </c>
    </row>
    <row r="18" spans="1:8" x14ac:dyDescent="0.3">
      <c r="A18" s="2">
        <v>17</v>
      </c>
      <c r="B18" s="3" t="s">
        <v>55</v>
      </c>
      <c r="C18" s="4">
        <v>4</v>
      </c>
      <c r="D18" s="5">
        <v>30</v>
      </c>
      <c r="E18" s="6">
        <f t="shared" si="0"/>
        <v>120</v>
      </c>
      <c r="F18" s="2" t="s">
        <v>9</v>
      </c>
      <c r="G18" s="7" t="s">
        <v>56</v>
      </c>
      <c r="H18" s="3" t="s">
        <v>57</v>
      </c>
    </row>
    <row r="19" spans="1:8" x14ac:dyDescent="0.3">
      <c r="A19" s="2">
        <v>18</v>
      </c>
      <c r="B19" s="3" t="s">
        <v>58</v>
      </c>
      <c r="C19" s="4">
        <v>2</v>
      </c>
      <c r="D19" s="5">
        <v>80</v>
      </c>
      <c r="E19" s="6">
        <f t="shared" si="0"/>
        <v>160</v>
      </c>
      <c r="F19" s="2" t="s">
        <v>12</v>
      </c>
      <c r="G19" s="7" t="s">
        <v>59</v>
      </c>
      <c r="H19" s="3" t="s">
        <v>60</v>
      </c>
    </row>
    <row r="20" spans="1:8" x14ac:dyDescent="0.3">
      <c r="A20" s="2">
        <v>19</v>
      </c>
      <c r="B20" s="3" t="s">
        <v>61</v>
      </c>
      <c r="C20" s="4">
        <v>1</v>
      </c>
      <c r="D20" s="5">
        <v>150</v>
      </c>
      <c r="E20" s="6">
        <f t="shared" si="0"/>
        <v>150</v>
      </c>
      <c r="F20" s="2" t="s">
        <v>12</v>
      </c>
      <c r="G20" s="7" t="s">
        <v>62</v>
      </c>
      <c r="H20" s="3" t="s">
        <v>63</v>
      </c>
    </row>
    <row r="21" spans="1:8" x14ac:dyDescent="0.3">
      <c r="A21" s="2">
        <v>20</v>
      </c>
      <c r="B21" s="3" t="s">
        <v>64</v>
      </c>
      <c r="C21" s="4">
        <v>1</v>
      </c>
      <c r="D21" s="5">
        <v>120</v>
      </c>
      <c r="E21" s="6">
        <f t="shared" si="0"/>
        <v>120</v>
      </c>
      <c r="F21" s="2" t="s">
        <v>9</v>
      </c>
      <c r="G21" s="7" t="s">
        <v>65</v>
      </c>
      <c r="H21" s="3" t="s">
        <v>66</v>
      </c>
    </row>
    <row r="22" spans="1:8" x14ac:dyDescent="0.3">
      <c r="A22" s="2">
        <v>21</v>
      </c>
      <c r="B22" s="3" t="s">
        <v>67</v>
      </c>
      <c r="C22" s="4">
        <v>1</v>
      </c>
      <c r="D22" s="5">
        <v>150</v>
      </c>
      <c r="E22" s="6">
        <f t="shared" si="0"/>
        <v>150</v>
      </c>
      <c r="F22" s="2" t="s">
        <v>12</v>
      </c>
      <c r="G22" s="7" t="s">
        <v>68</v>
      </c>
      <c r="H22" s="3" t="s">
        <v>69</v>
      </c>
    </row>
    <row r="23" spans="1:8" x14ac:dyDescent="0.3">
      <c r="A23" s="2">
        <v>22</v>
      </c>
      <c r="B23" s="3" t="s">
        <v>70</v>
      </c>
      <c r="C23" s="4">
        <v>1</v>
      </c>
      <c r="D23" s="5">
        <v>120</v>
      </c>
      <c r="E23" s="6">
        <f t="shared" si="0"/>
        <v>120</v>
      </c>
      <c r="F23" s="2" t="s">
        <v>12</v>
      </c>
      <c r="G23" s="7" t="s">
        <v>71</v>
      </c>
      <c r="H23" s="3" t="s">
        <v>72</v>
      </c>
    </row>
    <row r="24" spans="1:8" x14ac:dyDescent="0.3">
      <c r="A24" s="2">
        <v>23</v>
      </c>
      <c r="B24" s="3" t="s">
        <v>73</v>
      </c>
      <c r="C24" s="4">
        <v>1</v>
      </c>
      <c r="D24" s="5">
        <v>100</v>
      </c>
      <c r="E24" s="6">
        <f t="shared" si="0"/>
        <v>100</v>
      </c>
      <c r="F24" s="2" t="s">
        <v>9</v>
      </c>
      <c r="G24" s="7" t="s">
        <v>74</v>
      </c>
      <c r="H24" s="3" t="s">
        <v>75</v>
      </c>
    </row>
    <row r="25" spans="1:8" x14ac:dyDescent="0.3">
      <c r="A25" s="2">
        <v>24</v>
      </c>
      <c r="B25" s="3" t="s">
        <v>76</v>
      </c>
      <c r="C25" s="4">
        <v>1</v>
      </c>
      <c r="D25" s="5">
        <v>50</v>
      </c>
      <c r="E25" s="6">
        <f t="shared" si="0"/>
        <v>50</v>
      </c>
      <c r="F25" s="2" t="s">
        <v>12</v>
      </c>
      <c r="G25" s="7" t="s">
        <v>77</v>
      </c>
      <c r="H25" s="3" t="s">
        <v>78</v>
      </c>
    </row>
    <row r="26" spans="1:8" ht="26.4" x14ac:dyDescent="0.3">
      <c r="A26" s="2">
        <v>25</v>
      </c>
      <c r="B26" s="3" t="s">
        <v>79</v>
      </c>
      <c r="C26" s="4">
        <v>1</v>
      </c>
      <c r="D26" s="5">
        <v>400</v>
      </c>
      <c r="E26" s="6">
        <f t="shared" si="0"/>
        <v>400</v>
      </c>
      <c r="F26" s="2" t="s">
        <v>12</v>
      </c>
      <c r="G26" s="7" t="s">
        <v>80</v>
      </c>
      <c r="H26" s="3" t="s">
        <v>81</v>
      </c>
    </row>
    <row r="27" spans="1:8" x14ac:dyDescent="0.3">
      <c r="A27" s="2">
        <v>26</v>
      </c>
      <c r="B27" s="3" t="s">
        <v>82</v>
      </c>
      <c r="C27" s="4">
        <v>1</v>
      </c>
      <c r="D27" s="5">
        <v>250</v>
      </c>
      <c r="E27" s="6">
        <f t="shared" si="0"/>
        <v>250</v>
      </c>
      <c r="F27" s="2" t="s">
        <v>12</v>
      </c>
      <c r="G27" s="7" t="s">
        <v>83</v>
      </c>
      <c r="H27" s="3" t="s">
        <v>84</v>
      </c>
    </row>
  </sheetData>
  <autoFilter ref="A1:H27" xr:uid="{00000000-0009-0000-0000-000000000000}"/>
  <hyperlinks>
    <hyperlink ref="G2" r:id="rId1" xr:uid="{00000000-0004-0000-0000-000000000000}"/>
    <hyperlink ref="G4" r:id="rId2" xr:uid="{00000000-0004-0000-0000-000002000000}"/>
    <hyperlink ref="G6" r:id="rId3" xr:uid="{00000000-0004-0000-0000-000004000000}"/>
    <hyperlink ref="G7" r:id="rId4" xr:uid="{00000000-0004-0000-0000-000005000000}"/>
    <hyperlink ref="G8" r:id="rId5" xr:uid="{00000000-0004-0000-0000-000006000000}"/>
    <hyperlink ref="G9" r:id="rId6" xr:uid="{00000000-0004-0000-0000-000007000000}"/>
    <hyperlink ref="G10" r:id="rId7" xr:uid="{00000000-0004-0000-0000-000008000000}"/>
    <hyperlink ref="G11" r:id="rId8" xr:uid="{00000000-0004-0000-0000-000009000000}"/>
    <hyperlink ref="G12" r:id="rId9" xr:uid="{00000000-0004-0000-0000-00000A000000}"/>
    <hyperlink ref="G13" r:id="rId10" xr:uid="{00000000-0004-0000-0000-00000B000000}"/>
    <hyperlink ref="G14" r:id="rId11" xr:uid="{00000000-0004-0000-0000-00000C000000}"/>
    <hyperlink ref="G15" r:id="rId12" xr:uid="{00000000-0004-0000-0000-00000D000000}"/>
    <hyperlink ref="G16" r:id="rId13" xr:uid="{00000000-0004-0000-0000-00000E000000}"/>
    <hyperlink ref="G17" r:id="rId14" xr:uid="{00000000-0004-0000-0000-00000F000000}"/>
    <hyperlink ref="G18" r:id="rId15" xr:uid="{00000000-0004-0000-0000-000010000000}"/>
    <hyperlink ref="G19" r:id="rId16" xr:uid="{00000000-0004-0000-0000-000011000000}"/>
    <hyperlink ref="G20" r:id="rId17" xr:uid="{00000000-0004-0000-0000-000012000000}"/>
    <hyperlink ref="G21" r:id="rId18" xr:uid="{00000000-0004-0000-0000-000013000000}"/>
    <hyperlink ref="G22" r:id="rId19" xr:uid="{00000000-0004-0000-0000-000014000000}"/>
    <hyperlink ref="G23" r:id="rId20" xr:uid="{00000000-0004-0000-0000-000015000000}"/>
    <hyperlink ref="G24" r:id="rId21" xr:uid="{00000000-0004-0000-0000-000016000000}"/>
    <hyperlink ref="G25" r:id="rId22" xr:uid="{00000000-0004-0000-0000-000017000000}"/>
    <hyperlink ref="G26" r:id="rId23" xr:uid="{00000000-0004-0000-0000-000018000000}"/>
    <hyperlink ref="G27" r:id="rId24" xr:uid="{00000000-0004-0000-0000-00001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22" customWidth="1"/>
  </cols>
  <sheetData>
    <row r="1" spans="1:2" ht="17.399999999999999" x14ac:dyDescent="0.3">
      <c r="A1" s="8" t="s">
        <v>85</v>
      </c>
    </row>
    <row r="3" spans="1:2" x14ac:dyDescent="0.3">
      <c r="A3" s="9" t="s">
        <v>86</v>
      </c>
      <c r="B3" s="10">
        <v>10000</v>
      </c>
    </row>
    <row r="4" spans="1:2" x14ac:dyDescent="0.3">
      <c r="A4" s="9" t="s">
        <v>87</v>
      </c>
      <c r="B4" s="11">
        <f>SUM(BOM!E2:E27)</f>
        <v>7680.92</v>
      </c>
    </row>
    <row r="5" spans="1:2" x14ac:dyDescent="0.3">
      <c r="A5" s="9" t="s">
        <v>88</v>
      </c>
      <c r="B5" s="10">
        <v>400</v>
      </c>
    </row>
    <row r="6" spans="1:2" x14ac:dyDescent="0.3">
      <c r="A6" s="9" t="s">
        <v>89</v>
      </c>
      <c r="B6" s="11">
        <f>B4+B5</f>
        <v>8080.92</v>
      </c>
    </row>
    <row r="7" spans="1:2" x14ac:dyDescent="0.3">
      <c r="A7" s="9" t="s">
        <v>90</v>
      </c>
      <c r="B7" s="11">
        <f>MAX(0,B3-B6)</f>
        <v>1919.08</v>
      </c>
    </row>
    <row r="8" spans="1:2" x14ac:dyDescent="0.3">
      <c r="A8" s="9" t="s">
        <v>91</v>
      </c>
      <c r="B8" s="12">
        <f>B6+B7</f>
        <v>10000</v>
      </c>
    </row>
    <row r="9" spans="1:2" x14ac:dyDescent="0.3">
      <c r="A9" s="9" t="s">
        <v>92</v>
      </c>
      <c r="B9" s="13">
        <f>B7/B3</f>
        <v>0.191908</v>
      </c>
    </row>
    <row r="10" spans="1:2" x14ac:dyDescent="0.3">
      <c r="A10" s="9" t="s">
        <v>93</v>
      </c>
      <c r="B10" s="9" t="str">
        <f>IF(B6&lt;=B3,"Within budget","OVER BUDGET")</f>
        <v>Within budget</v>
      </c>
    </row>
    <row r="12" spans="1:2" x14ac:dyDescent="0.3">
      <c r="A12" s="9" t="s">
        <v>94</v>
      </c>
    </row>
    <row r="13" spans="1:2" x14ac:dyDescent="0.3">
      <c r="A13" s="14" t="s">
        <v>9</v>
      </c>
      <c r="B13" s="11">
        <f>SUMIF(BOM!F2:F27,A13,BOM!E2:E27)</f>
        <v>2773</v>
      </c>
    </row>
    <row r="14" spans="1:2" x14ac:dyDescent="0.3">
      <c r="A14" s="14" t="s">
        <v>15</v>
      </c>
      <c r="B14" s="11">
        <f>SUMIF(BOM!F2:F27,A14,BOM!E2:E27)</f>
        <v>2647.92</v>
      </c>
    </row>
    <row r="15" spans="1:2" x14ac:dyDescent="0.3">
      <c r="A15" s="14" t="s">
        <v>12</v>
      </c>
      <c r="B15" s="11">
        <f>SUMIF(BOM!F2:F27,A15,BOM!E2:E27)</f>
        <v>1810</v>
      </c>
    </row>
    <row r="16" spans="1:2" x14ac:dyDescent="0.3">
      <c r="A16" s="14" t="s">
        <v>49</v>
      </c>
      <c r="B16" s="11">
        <f>SUMIF(BOM!F2:F27,A16,BOM!E2:E27)</f>
        <v>450</v>
      </c>
    </row>
    <row r="18" spans="1:2" x14ac:dyDescent="0.3">
      <c r="A18" s="9" t="s">
        <v>95</v>
      </c>
      <c r="B18" s="13" t="e">
        <f>SUMIF(BOM!#REF!,"Verified listing",BOM!E2:E27)/B4</f>
        <v>#REF!</v>
      </c>
    </row>
    <row r="20" spans="1:2" x14ac:dyDescent="0.3">
      <c r="A20" s="9" t="s">
        <v>96</v>
      </c>
    </row>
    <row r="21" spans="1:2" x14ac:dyDescent="0.3">
      <c r="A21" s="14" t="s">
        <v>97</v>
      </c>
    </row>
    <row r="22" spans="1:2" x14ac:dyDescent="0.3">
      <c r="A22" s="14" t="s">
        <v>98</v>
      </c>
    </row>
    <row r="23" spans="1:2" x14ac:dyDescent="0.3">
      <c r="A23" s="14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7.399999999999999" x14ac:dyDescent="0.3">
      <c r="A1" s="15" t="s">
        <v>100</v>
      </c>
    </row>
    <row r="2" spans="1:1" ht="26.4" x14ac:dyDescent="0.3">
      <c r="A2" s="16" t="s">
        <v>101</v>
      </c>
    </row>
    <row r="3" spans="1:1" ht="26.4" x14ac:dyDescent="0.3">
      <c r="A3" s="16" t="s">
        <v>102</v>
      </c>
    </row>
    <row r="4" spans="1:1" ht="26.4" x14ac:dyDescent="0.3">
      <c r="A4" s="16" t="s">
        <v>103</v>
      </c>
    </row>
    <row r="5" spans="1:1" ht="26.4" x14ac:dyDescent="0.3">
      <c r="A5" s="16" t="s">
        <v>104</v>
      </c>
    </row>
    <row r="6" spans="1:1" x14ac:dyDescent="0.3">
      <c r="A6" s="16" t="s">
        <v>105</v>
      </c>
    </row>
    <row r="7" spans="1:1" ht="26.4" x14ac:dyDescent="0.3">
      <c r="A7" s="16" t="s">
        <v>106</v>
      </c>
    </row>
    <row r="8" spans="1:1" ht="26.4" x14ac:dyDescent="0.3">
      <c r="A8" s="16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Roman M</cp:lastModifiedBy>
  <cp:revision>0</cp:revision>
  <dcterms:created xsi:type="dcterms:W3CDTF">2026-10-26T17:21:46Z</dcterms:created>
  <dcterms:modified xsi:type="dcterms:W3CDTF">2026-10-26T17:56:28Z</dcterms:modified>
  <dc:language>en-US</dc:language>
</cp:coreProperties>
</file>